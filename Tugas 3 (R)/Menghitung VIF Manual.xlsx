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220824 (Analisis Spasial dengan R dan QGIS)\Tugas 3 (R)\"/>
    </mc:Choice>
  </mc:AlternateContent>
  <xr:revisionPtr revIDLastSave="0" documentId="13_ncr:1_{D40CC004-8829-498C-A308-4C855E974733}" xr6:coauthVersionLast="47" xr6:coauthVersionMax="47" xr10:uidLastSave="{00000000-0000-0000-0000-000000000000}"/>
  <bookViews>
    <workbookView xWindow="-90" yWindow="0" windowWidth="9780" windowHeight="10170" xr2:uid="{A6615088-9C09-40E0-A7BA-43CA20F9A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C6" i="1" l="1"/>
  <c r="D6" i="1"/>
  <c r="E6" i="1"/>
  <c r="B10" i="1" s="1"/>
  <c r="F6" i="1"/>
  <c r="G6" i="1"/>
  <c r="B6" i="1"/>
  <c r="G3" i="1"/>
  <c r="G4" i="1"/>
  <c r="G5" i="1"/>
  <c r="G2" i="1"/>
  <c r="F3" i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<sst xmlns="http://schemas.openxmlformats.org/spreadsheetml/2006/main" count="11" uniqueCount="11">
  <si>
    <t>Y</t>
  </si>
  <si>
    <t>X1</t>
  </si>
  <si>
    <t>X2</t>
  </si>
  <si>
    <t>X1X2</t>
  </si>
  <si>
    <t>X1^2</t>
  </si>
  <si>
    <t>X2^2</t>
  </si>
  <si>
    <t>Total</t>
  </si>
  <si>
    <t>r</t>
  </si>
  <si>
    <t>n</t>
  </si>
  <si>
    <t>Tol</t>
  </si>
  <si>
    <t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</si>
</sst>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EC35-5C14-46AF-9112-0AD5BF016F93}">
  <dimension ref="A1:J10"/>
  <sheetViews>
    <sheetView tabSelected="1" workbookViewId="0">
      <selection activeCell="E14" sqref="E14:E16"/>
    </sheetView>
  </sheetViews>
  <sheetFormatPr defaultRowHeight="14.5" x14ac:dyDescent="0.35"/>
  <sheetData>
    <row r="1" spans="1:10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</row>
    <row r="2" spans="1:10" x14ac:dyDescent="0.35">
      <c r="A2" s="1"/>
      <c r="B2" s="2">
        <v>5</v>
      </c>
      <c r="C2" s="2">
        <v>4</v>
      </c>
      <c r="D2" s="2">
        <v>6</v>
      </c>
      <c r="E2" s="1">
        <f>C2*D2</f>
        <v>24</v>
      </c>
      <c r="F2" s="1">
        <f>C2^2</f>
        <v>16</v>
      </c>
      <c r="G2" s="1">
        <f>D2^2</f>
        <v>36</v>
      </c>
      <c r="H2" s="4"/>
    </row>
    <row r="3" spans="1:10" x14ac:dyDescent="0.35">
      <c r="A3" s="1"/>
      <c r="B3" s="2">
        <v>4</v>
      </c>
      <c r="C3" s="2">
        <v>1</v>
      </c>
      <c r="D3" s="2">
        <v>4</v>
      </c>
      <c r="E3" s="1">
        <f t="shared" ref="E3:E5" si="0">C3*D3</f>
        <v>4</v>
      </c>
      <c r="F3" s="1">
        <f t="shared" ref="F3:F5" si="1">C3^2</f>
        <v>1</v>
      </c>
      <c r="G3" s="1">
        <f t="shared" ref="G3:G5" si="2">D3^2</f>
        <v>16</v>
      </c>
      <c r="H3" s="4"/>
      <c r="I3" t="s">
        <v>8</v>
      </c>
      <c r="J3">
        <v>4</v>
      </c>
    </row>
    <row r="4" spans="1:10" x14ac:dyDescent="0.35">
      <c r="A4" s="1"/>
      <c r="B4" s="2">
        <v>1</v>
      </c>
      <c r="C4" s="2">
        <v>5</v>
      </c>
      <c r="D4" s="2">
        <v>8</v>
      </c>
      <c r="E4" s="1">
        <f t="shared" si="0"/>
        <v>40</v>
      </c>
      <c r="F4" s="1">
        <f t="shared" si="1"/>
        <v>25</v>
      </c>
      <c r="G4" s="1">
        <f t="shared" si="2"/>
        <v>64</v>
      </c>
      <c r="H4" s="4"/>
    </row>
    <row r="5" spans="1:10" x14ac:dyDescent="0.35">
      <c r="A5" s="1"/>
      <c r="B5" s="2">
        <v>7</v>
      </c>
      <c r="C5" s="2">
        <v>4</v>
      </c>
      <c r="D5" s="2">
        <v>9</v>
      </c>
      <c r="E5" s="1">
        <f t="shared" si="0"/>
        <v>36</v>
      </c>
      <c r="F5" s="1">
        <f t="shared" si="1"/>
        <v>16</v>
      </c>
      <c r="G5" s="1">
        <f t="shared" si="2"/>
        <v>81</v>
      </c>
      <c r="H5" s="4"/>
    </row>
    <row r="6" spans="1:10" x14ac:dyDescent="0.35">
      <c r="A6" s="1" t="s">
        <v>6</v>
      </c>
      <c r="B6" s="1">
        <f>SUM(B2:B5)</f>
        <v>17</v>
      </c>
      <c r="C6" s="1">
        <f t="shared" ref="C6:G6" si="3">SUM(C2:C5)</f>
        <v>14</v>
      </c>
      <c r="D6" s="1">
        <f t="shared" si="3"/>
        <v>27</v>
      </c>
      <c r="E6" s="1">
        <f t="shared" si="3"/>
        <v>104</v>
      </c>
      <c r="F6" s="1">
        <f t="shared" si="3"/>
        <v>58</v>
      </c>
      <c r="G6" s="1">
        <f t="shared" si="3"/>
        <v>197</v>
      </c>
      <c r="H6" s="4"/>
    </row>
    <row r="8" spans="1:10" x14ac:dyDescent="0.35">
      <c r="A8" t="s">
        <v>7</v>
      </c>
      <c r="B8">
        <f>((J3*E6)-(C6*D6))/(SQRT(((J3*F6)-C6^2)*((J3*G6)-D6^2)))</f>
        <v>0.82452976954521773</v>
      </c>
    </row>
    <row r="9" spans="1:10" x14ac:dyDescent="0.35">
      <c r="A9" t="s">
        <v>9</v>
      </c>
      <c r="B9">
        <f>1-B8^2</f>
        <v>0.3201506591337101</v>
      </c>
    </row>
    <row r="10" spans="1:10" x14ac:dyDescent="0.35">
      <c r="A10" t="s">
        <v>10</v>
      </c>
      <c r="B10">
        <f>1/B9</f>
        <v>3.1235294117647046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2024-08-09T04:20:17Z</dcterms:created>
  <dcterms:modified xsi:type="dcterms:W3CDTF">2024-08-10T21:07:30Z</dcterms:modified>
</cp:coreProperties>
</file>