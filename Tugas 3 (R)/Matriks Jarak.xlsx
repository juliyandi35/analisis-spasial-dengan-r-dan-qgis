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220824 (Analisis Spasial dengan R dan QGIS)\Tugas 3 (R)\"/>
    </mc:Choice>
  </mc:AlternateContent>
  <xr:revisionPtr revIDLastSave="0" documentId="8_{00EE1D4E-2C59-4E01-979A-170E3934C4A4}" xr6:coauthVersionLast="47" xr6:coauthVersionMax="47" xr10:uidLastSave="{00000000-0000-0000-0000-000000000000}"/>
  <bookViews>
    <workbookView xWindow="-110" yWindow="-110" windowWidth="19420" windowHeight="10300" xr2:uid="{5F103573-C6FE-470C-9B06-A455C5EF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K2" i="1"/>
  <c r="L2" i="1"/>
  <c r="M2" i="1"/>
  <c r="N2" i="1"/>
  <c r="O2" i="1"/>
  <c r="P2" i="1"/>
  <c r="Q2" i="1"/>
  <c r="H3" i="1"/>
  <c r="I3" i="1"/>
  <c r="J3" i="1"/>
  <c r="K3" i="1"/>
  <c r="L3" i="1"/>
  <c r="M3" i="1"/>
  <c r="N3" i="1"/>
  <c r="O3" i="1"/>
  <c r="P3" i="1"/>
  <c r="Q3" i="1"/>
  <c r="H4" i="1"/>
  <c r="I4" i="1"/>
  <c r="J4" i="1"/>
  <c r="K4" i="1"/>
  <c r="L4" i="1"/>
  <c r="M4" i="1"/>
  <c r="N4" i="1"/>
  <c r="O4" i="1"/>
  <c r="P4" i="1"/>
  <c r="Q4" i="1"/>
  <c r="H5" i="1"/>
  <c r="I5" i="1"/>
  <c r="J5" i="1"/>
  <c r="K5" i="1"/>
  <c r="L5" i="1"/>
  <c r="M5" i="1"/>
  <c r="N5" i="1"/>
  <c r="O5" i="1"/>
  <c r="P5" i="1"/>
  <c r="Q5" i="1"/>
  <c r="H6" i="1"/>
  <c r="I6" i="1"/>
  <c r="J6" i="1"/>
  <c r="K6" i="1"/>
  <c r="L6" i="1"/>
  <c r="M6" i="1"/>
  <c r="N6" i="1"/>
  <c r="O6" i="1"/>
  <c r="P6" i="1"/>
  <c r="Q6" i="1"/>
  <c r="H7" i="1"/>
  <c r="I7" i="1"/>
  <c r="J7" i="1"/>
  <c r="K7" i="1"/>
  <c r="L7" i="1"/>
  <c r="M7" i="1"/>
  <c r="N7" i="1"/>
  <c r="O7" i="1"/>
  <c r="P7" i="1"/>
  <c r="Q7" i="1"/>
  <c r="H8" i="1"/>
  <c r="I8" i="1"/>
  <c r="J8" i="1"/>
  <c r="K8" i="1"/>
  <c r="L8" i="1"/>
  <c r="M8" i="1"/>
  <c r="N8" i="1"/>
  <c r="O8" i="1"/>
  <c r="P8" i="1"/>
  <c r="Q8" i="1"/>
  <c r="H9" i="1"/>
  <c r="I9" i="1"/>
  <c r="J9" i="1"/>
  <c r="K9" i="1"/>
  <c r="L9" i="1"/>
  <c r="M9" i="1"/>
  <c r="N9" i="1"/>
  <c r="O9" i="1"/>
  <c r="P9" i="1"/>
  <c r="Q9" i="1"/>
  <c r="H10" i="1"/>
  <c r="I10" i="1"/>
  <c r="J10" i="1"/>
  <c r="K10" i="1"/>
  <c r="L10" i="1"/>
  <c r="M10" i="1"/>
  <c r="N10" i="1"/>
  <c r="O10" i="1"/>
  <c r="P10" i="1"/>
  <c r="Q10" i="1"/>
  <c r="H11" i="1"/>
  <c r="I11" i="1"/>
  <c r="J11" i="1"/>
  <c r="K11" i="1"/>
  <c r="L11" i="1"/>
  <c r="M11" i="1"/>
  <c r="N11" i="1"/>
  <c r="O11" i="1"/>
  <c r="P11" i="1"/>
  <c r="Q11" i="1"/>
</calcChain>
</file>

<file path=xl/sharedStrings.xml><?xml version="1.0" encoding="utf-8"?>
<sst xmlns="http://schemas.openxmlformats.org/spreadsheetml/2006/main" count="3" uniqueCount="3">
  <si>
    <t>Longitude</t>
  </si>
  <si>
    <t>Latitude</t>
  </si>
  <si>
    <t>Titik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</si>
</sst>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C779-7657-4071-B5A9-1155E0D40205}">
  <dimension ref="A1:Q11"/>
  <sheetViews>
    <sheetView tabSelected="1" workbookViewId="0">
      <selection activeCell="E7" sqref="E7"/>
    </sheetView>
  </sheetViews>
  <sheetFormatPr defaultRowHeight="14.5" x14ac:dyDescent="0.35"/>
  <cols>
    <col min="10" max="10" width="10.81640625" customWidth="1"/>
  </cols>
  <sheetData>
    <row r="1" spans="1:17" x14ac:dyDescent="0.35">
      <c r="A1" s="2" t="s">
        <v>2</v>
      </c>
      <c r="B1" s="1" t="s">
        <v>1</v>
      </c>
      <c r="C1" s="1" t="s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</row>
    <row r="2" spans="1:17" x14ac:dyDescent="0.35">
      <c r="A2">
        <v>1</v>
      </c>
      <c r="B2">
        <v>-8.3651847839355469</v>
      </c>
      <c r="C2">
        <v>116.58702087402344</v>
      </c>
      <c r="G2">
        <v>1</v>
      </c>
      <c r="H2">
        <f>SQRT(($C$2-C2)^2+($B$2-B2)^2)</f>
        <v>0</v>
      </c>
      <c r="I2">
        <f>SQRT(($C$3-C2)^2+($B$3-B2)^2)</f>
        <v>6.3208157042935073E-2</v>
      </c>
      <c r="J2">
        <f>SQRT(($C$4-C2)^2+($B$4-B2)^2)</f>
        <v>0.53174234431179579</v>
      </c>
      <c r="K2">
        <f>SQRT(($C$5-C2)^2+($B$5-B2)^2)</f>
        <v>2.2123703278228679</v>
      </c>
      <c r="L2">
        <f>SQRT(($C$6-C2)^2+($B$6-B2)^2)</f>
        <v>1.1487196814719562</v>
      </c>
      <c r="M2">
        <f>SQRT(($C$7-C2)^2+($B$7-B2)^2)</f>
        <v>1.5620898646191974</v>
      </c>
      <c r="N2">
        <f>SQRT(($C$8-C2)^2+($B$8-B2)^2)</f>
        <v>1.1843858633354589</v>
      </c>
      <c r="O2">
        <f>SQRT(($C$9-C2)^2+($B$9-B2)^2)</f>
        <v>1.82303926006751</v>
      </c>
      <c r="P2">
        <f>SQRT(($C$10-C2)^2+($B$10-B2)^2)</f>
        <v>2.7931811220699605</v>
      </c>
      <c r="Q2">
        <f>SQRT(($C$11-C2)^2+($B$11-B2)^2)</f>
        <v>2.8100121222032648</v>
      </c>
    </row>
    <row r="3" spans="1:17" x14ac:dyDescent="0.35">
      <c r="A3">
        <v>2</v>
      </c>
      <c r="B3">
        <v>-8.3040609359741211</v>
      </c>
      <c r="C3">
        <v>116.60311889648438</v>
      </c>
      <c r="G3">
        <v>2</v>
      </c>
      <c r="H3">
        <f>SQRT(($C$2-C3)^2+($B$2-B3)^2)</f>
        <v>6.3208157042935073E-2</v>
      </c>
      <c r="I3">
        <f>SQRT(($C$3-C3)^2+($B$3-B3)^2)</f>
        <v>0</v>
      </c>
      <c r="J3">
        <f>SQRT(($C$4-C3)^2+($B$4-B3)^2)</f>
        <v>0.58167139546676006</v>
      </c>
      <c r="K3">
        <f>SQRT(($C$5-C3)^2+($B$5-B3)^2)</f>
        <v>2.2031238444892844</v>
      </c>
      <c r="L3">
        <f>SQRT(($C$6-C3)^2+($B$6-B3)^2)</f>
        <v>1.1475142008199619</v>
      </c>
      <c r="M3">
        <f>SQRT(($C$7-C3)^2+($B$7-B3)^2)</f>
        <v>1.5821029354067451</v>
      </c>
      <c r="N3">
        <f>SQRT(($C$8-C3)^2+($B$8-B3)^2)</f>
        <v>1.1579941769223554</v>
      </c>
      <c r="O3">
        <f>SQRT(($C$9-C3)^2+($B$9-B3)^2)</f>
        <v>1.8140911944942137</v>
      </c>
      <c r="P3">
        <f>SQRT(($C$10-C3)^2+($B$10-B3)^2)</f>
        <v>2.7919008929164013</v>
      </c>
      <c r="Q3">
        <f>SQRT(($C$11-C3)^2+($B$11-B3)^2)</f>
        <v>2.8088177164888637</v>
      </c>
    </row>
    <row r="4" spans="1:17" x14ac:dyDescent="0.35">
      <c r="A4">
        <v>3</v>
      </c>
      <c r="B4">
        <v>-8.6730690002441406</v>
      </c>
      <c r="C4">
        <v>116.15348052978516</v>
      </c>
      <c r="G4">
        <v>3</v>
      </c>
      <c r="H4">
        <f>SQRT(($C$2-C4)^2+($B$2-B4)^2)</f>
        <v>0.53174234431179579</v>
      </c>
      <c r="I4">
        <f>SQRT(($C$3-C4)^2+($B$3-B4)^2)</f>
        <v>0.58167139546676006</v>
      </c>
      <c r="J4">
        <f>SQRT(($C$4-C4)^2+($B$4-B4)^2)</f>
        <v>0</v>
      </c>
      <c r="K4">
        <f>SQRT(($C$5-C4)^2+($B$5-B4)^2)</f>
        <v>2.6373017030866808</v>
      </c>
      <c r="L4">
        <f>SQRT(($C$6-C4)^2+($B$6-B4)^2)</f>
        <v>1.5582582558371474</v>
      </c>
      <c r="M4">
        <f>SQRT(($C$7-C4)^2+($B$7-B4)^2)</f>
        <v>1.8326634280992009</v>
      </c>
      <c r="N4">
        <f>SQRT(($C$8-C4)^2+($B$8-B4)^2)</f>
        <v>1.6839442055222955</v>
      </c>
      <c r="O4">
        <f>SQRT(($C$9-C4)^2+($B$9-B4)^2)</f>
        <v>2.2514772371806702</v>
      </c>
      <c r="P4">
        <f>SQRT(($C$10-C4)^2+($B$10-B4)^2)</f>
        <v>3.1716932613509701</v>
      </c>
      <c r="Q4">
        <f>SQRT(($C$11-C4)^2+($B$11-B4)^2)</f>
        <v>3.1878930723246706</v>
      </c>
    </row>
    <row r="5" spans="1:17" x14ac:dyDescent="0.35">
      <c r="A5">
        <v>4</v>
      </c>
      <c r="B5">
        <v>-8.5784788131713867</v>
      </c>
      <c r="C5">
        <v>118.78908538818359</v>
      </c>
      <c r="G5">
        <v>4</v>
      </c>
      <c r="H5">
        <f>SQRT(($C$2-C5)^2+($B$2-B5)^2)</f>
        <v>2.2123703278228679</v>
      </c>
      <c r="I5">
        <f>SQRT(($C$3-C5)^2+($B$3-B5)^2)</f>
        <v>2.2031238444892844</v>
      </c>
      <c r="J5">
        <f>SQRT(($C$4-C5)^2+($B$4-B5)^2)</f>
        <v>2.6373017030866808</v>
      </c>
      <c r="K5">
        <f>SQRT(($C$5-C5)^2+($B$5-B5)^2)</f>
        <v>0</v>
      </c>
      <c r="L5">
        <f>SQRT(($C$6-C5)^2+($B$6-B5)^2)</f>
        <v>1.0791471419614955</v>
      </c>
      <c r="M5">
        <f>SQRT(($C$7-C5)^2+($B$7-B5)^2)</f>
        <v>1.0740763076615381</v>
      </c>
      <c r="N5">
        <f>SQRT(($C$8-C5)^2+($B$8-B5)^2)</f>
        <v>1.132189665069099</v>
      </c>
      <c r="O5">
        <f>SQRT(($C$9-C5)^2+($B$9-B5)^2)</f>
        <v>0.38934664750877956</v>
      </c>
      <c r="P5">
        <f>SQRT(($C$10-C5)^2+($B$10-B5)^2)</f>
        <v>0.66381780474973984</v>
      </c>
      <c r="Q5">
        <f>SQRT(($C$11-C5)^2+($B$11-B5)^2)</f>
        <v>0.68074282372817008</v>
      </c>
    </row>
    <row r="6" spans="1:17" x14ac:dyDescent="0.35">
      <c r="A6">
        <v>5</v>
      </c>
      <c r="B6">
        <v>-8.6056900024414063</v>
      </c>
      <c r="C6">
        <v>117.7102813720703</v>
      </c>
      <c r="G6">
        <v>5</v>
      </c>
      <c r="H6">
        <f>SQRT(($C$2-C6)^2+($B$2-B6)^2)</f>
        <v>1.1487196814719562</v>
      </c>
      <c r="I6">
        <f>SQRT(($C$3-C6)^2+($B$3-B6)^2)</f>
        <v>1.1475142008199619</v>
      </c>
      <c r="J6">
        <f>SQRT(($C$4-C6)^2+($B$4-B6)^2)</f>
        <v>1.5582582558371474</v>
      </c>
      <c r="K6">
        <f>SQRT(($C$5-C6)^2+($B$5-B6)^2)</f>
        <v>1.0791471419614955</v>
      </c>
      <c r="L6">
        <f>SQRT(($C$6-C6)^2+($B$6-B6)^2)</f>
        <v>0</v>
      </c>
      <c r="M6">
        <f>SQRT(($C$7-C6)^2+($B$7-B6)^2)</f>
        <v>0.62289160895663565</v>
      </c>
      <c r="N6">
        <f>SQRT(($C$8-C6)^2+($B$8-B6)^2)</f>
        <v>0.47454788486364724</v>
      </c>
      <c r="O6">
        <f>SQRT(($C$9-C6)^2+($B$9-B6)^2)</f>
        <v>0.69371933139665909</v>
      </c>
      <c r="P6">
        <f>SQRT(($C$10-C6)^2+($B$10-B6)^2)</f>
        <v>1.6446815516799214</v>
      </c>
      <c r="Q6">
        <f>SQRT(($C$11-C6)^2+($B$11-B6)^2)</f>
        <v>1.661555210353522</v>
      </c>
    </row>
    <row r="7" spans="1:17" x14ac:dyDescent="0.35">
      <c r="A7">
        <v>6</v>
      </c>
      <c r="B7">
        <v>-9.1956787109375</v>
      </c>
      <c r="C7">
        <v>117.91004943847656</v>
      </c>
      <c r="G7">
        <v>6</v>
      </c>
      <c r="H7">
        <f>SQRT(($C$2-C7)^2+($B$2-B7)^2)</f>
        <v>1.5620898646191974</v>
      </c>
      <c r="I7">
        <f>SQRT(($C$3-C7)^2+($B$3-B7)^2)</f>
        <v>1.5821029354067451</v>
      </c>
      <c r="J7">
        <f>SQRT(($C$4-C7)^2+($B$4-B7)^2)</f>
        <v>1.8326634280992009</v>
      </c>
      <c r="K7">
        <f>SQRT(($C$5-C7)^2+($B$5-B7)^2)</f>
        <v>1.0740763076615381</v>
      </c>
      <c r="L7">
        <f>SQRT(($C$6-C7)^2+($B$6-B7)^2)</f>
        <v>0.62289160895663565</v>
      </c>
      <c r="M7">
        <f>SQRT(($C$7-C7)^2+($B$7-B7)^2)</f>
        <v>0</v>
      </c>
      <c r="N7">
        <f>SQRT(($C$8-C7)^2+($B$8-B7)^2)</f>
        <v>1.0752330847951879</v>
      </c>
      <c r="O7">
        <f>SQRT(($C$9-C7)^2+($B$9-B7)^2)</f>
        <v>0.8159998040348444</v>
      </c>
      <c r="P7">
        <f>SQRT(($C$10-C7)^2+($B$10-B7)^2)</f>
        <v>1.4140539411556554</v>
      </c>
      <c r="Q7">
        <f>SQRT(($C$11-C7)^2+($B$11-B7)^2)</f>
        <v>1.4283163079382457</v>
      </c>
    </row>
    <row r="8" spans="1:17" x14ac:dyDescent="0.35">
      <c r="A8">
        <v>7</v>
      </c>
      <c r="B8">
        <v>-8.1326723098754883</v>
      </c>
      <c r="C8">
        <v>117.74835968017578</v>
      </c>
      <c r="G8">
        <v>7</v>
      </c>
      <c r="H8">
        <f>SQRT(($C$2-C8)^2+($B$2-B8)^2)</f>
        <v>1.1843858633354589</v>
      </c>
      <c r="I8">
        <f>SQRT(($C$3-C8)^2+($B$3-B8)^2)</f>
        <v>1.1579941769223554</v>
      </c>
      <c r="J8">
        <f>SQRT(($C$4-C8)^2+($B$4-B8)^2)</f>
        <v>1.6839442055222955</v>
      </c>
      <c r="K8">
        <f>SQRT(($C$5-C8)^2+($B$5-B8)^2)</f>
        <v>1.132189665069099</v>
      </c>
      <c r="L8">
        <f>SQRT(($C$6-C8)^2+($B$6-B8)^2)</f>
        <v>0.47454788486364724</v>
      </c>
      <c r="M8">
        <f>SQRT(($C$7-C8)^2+($B$7-B8)^2)</f>
        <v>1.0752330847951879</v>
      </c>
      <c r="N8">
        <f>SQRT(($C$8-C8)^2+($B$8-B8)^2)</f>
        <v>0</v>
      </c>
      <c r="O8">
        <f>SQRT(($C$9-C8)^2+($B$9-B8)^2)</f>
        <v>0.77171501042145108</v>
      </c>
      <c r="P8">
        <f>SQRT(($C$10-C8)^2+($B$10-B8)^2)</f>
        <v>1.7812557349283866</v>
      </c>
      <c r="Q8">
        <f>SQRT(($C$11-C8)^2+($B$11-B8)^2)</f>
        <v>1.7985382215045587</v>
      </c>
    </row>
    <row r="9" spans="1:17" x14ac:dyDescent="0.35">
      <c r="A9">
        <v>8</v>
      </c>
      <c r="B9">
        <v>-8.5440902709960938</v>
      </c>
      <c r="C9">
        <v>118.40126037597656</v>
      </c>
      <c r="G9">
        <v>8</v>
      </c>
      <c r="H9">
        <f>SQRT(($C$2-C9)^2+($B$2-B9)^2)</f>
        <v>1.82303926006751</v>
      </c>
      <c r="I9">
        <f>SQRT(($C$3-C9)^2+($B$3-B9)^2)</f>
        <v>1.8140911944942137</v>
      </c>
      <c r="J9">
        <f>SQRT(($C$4-C9)^2+($B$4-B9)^2)</f>
        <v>2.2514772371806702</v>
      </c>
      <c r="K9">
        <f>SQRT(($C$5-C9)^2+($B$5-B9)^2)</f>
        <v>0.38934664750877956</v>
      </c>
      <c r="L9">
        <f>SQRT(($C$6-C9)^2+($B$6-B9)^2)</f>
        <v>0.69371933139665909</v>
      </c>
      <c r="M9">
        <f>SQRT(($C$7-C9)^2+($B$7-B9)^2)</f>
        <v>0.8159998040348444</v>
      </c>
      <c r="N9">
        <f>SQRT(($C$8-C9)^2+($B$8-B9)^2)</f>
        <v>0.77171501042145108</v>
      </c>
      <c r="O9">
        <f>SQRT(($C$9-C9)^2+($B$9-B9)^2)</f>
        <v>0</v>
      </c>
      <c r="P9">
        <f>SQRT(($C$10-C9)^2+($B$10-B9)^2)</f>
        <v>1.0119502910665412</v>
      </c>
      <c r="Q9">
        <f>SQRT(($C$11-C9)^2+($B$11-B9)^2)</f>
        <v>1.0292486404267158</v>
      </c>
    </row>
    <row r="10" spans="1:17" x14ac:dyDescent="0.35">
      <c r="A10">
        <v>9</v>
      </c>
      <c r="B10">
        <v>-8.9909477233886719</v>
      </c>
      <c r="C10">
        <v>119.3092041015625</v>
      </c>
      <c r="G10">
        <v>9</v>
      </c>
      <c r="H10">
        <f>SQRT(($C$2-C10)^2+($B$2-B10)^2)</f>
        <v>2.7931811220699605</v>
      </c>
      <c r="I10">
        <f>SQRT(($C$3-C10)^2+($B$3-B10)^2)</f>
        <v>2.7919008929164013</v>
      </c>
      <c r="J10">
        <f>SQRT(($C$4-C10)^2+($B$4-B10)^2)</f>
        <v>3.1716932613509701</v>
      </c>
      <c r="K10">
        <f>SQRT(($C$5-C10)^2+($B$5-B10)^2)</f>
        <v>0.66381780474973984</v>
      </c>
      <c r="L10">
        <f>SQRT(($C$6-C10)^2+($B$6-B10)^2)</f>
        <v>1.6446815516799214</v>
      </c>
      <c r="M10">
        <f>SQRT(($C$7-C10)^2+($B$7-B10)^2)</f>
        <v>1.4140539411556554</v>
      </c>
      <c r="N10">
        <f>SQRT(($C$8-C10)^2+($B$8-B10)^2)</f>
        <v>1.7812557349283866</v>
      </c>
      <c r="O10">
        <f>SQRT(($C$9-C10)^2+($B$9-B10)^2)</f>
        <v>1.0119502910665412</v>
      </c>
      <c r="P10">
        <f>SQRT(($C$10-C10)^2+($B$10-B10)^2)</f>
        <v>0</v>
      </c>
      <c r="Q10">
        <f>SQRT(($C$11-C10)^2+($B$11-B10)^2)</f>
        <v>1.7298394113285941E-2</v>
      </c>
    </row>
    <row r="11" spans="1:17" x14ac:dyDescent="0.35">
      <c r="A11">
        <v>10</v>
      </c>
      <c r="B11">
        <v>-8.998621940612793</v>
      </c>
      <c r="C11">
        <v>119.32470703125</v>
      </c>
      <c r="G11">
        <v>10</v>
      </c>
      <c r="H11">
        <f>SQRT(($C$2-C11)^2+($B$2-B11)^2)</f>
        <v>2.8100121222032648</v>
      </c>
      <c r="I11">
        <f>SQRT(($C$3-C11)^2+($B$3-B11)^2)</f>
        <v>2.8088177164888637</v>
      </c>
      <c r="J11">
        <f>SQRT(($C$4-C11)^2+($B$4-B11)^2)</f>
        <v>3.1878930723246706</v>
      </c>
      <c r="K11">
        <f>SQRT(($C$5-C11)^2+($B$5-B11)^2)</f>
        <v>0.68074282372817008</v>
      </c>
      <c r="L11">
        <f>SQRT(($C$6-C11)^2+($B$6-B11)^2)</f>
        <v>1.661555210353522</v>
      </c>
      <c r="M11">
        <f>SQRT(($C$7-C11)^2+($B$7-B11)^2)</f>
        <v>1.4283163079382457</v>
      </c>
      <c r="N11">
        <f>SQRT(($C$8-C11)^2+($B$8-B11)^2)</f>
        <v>1.7985382215045587</v>
      </c>
      <c r="O11">
        <f>SQRT(($C$9-C11)^2+($B$9-B11)^2)</f>
        <v>1.0292486404267158</v>
      </c>
      <c r="P11">
        <f>SQRT(($C$10-C11)^2+($B$10-B11)^2)</f>
        <v>1.7298394113285941E-2</v>
      </c>
      <c r="Q11">
        <f>SQRT(($C$11-C11)^2+($B$11-B11)^2)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2024-08-10T12:12:09Z</dcterms:created>
  <dcterms:modified xsi:type="dcterms:W3CDTF">2024-08-10T12:12:26Z</dcterms:modified>
</cp:coreProperties>
</file>